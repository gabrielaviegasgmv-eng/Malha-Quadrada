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abs\"/>
    </mc:Choice>
  </mc:AlternateContent>
  <bookViews>
    <workbookView xWindow="0" yWindow="0" windowWidth="21570" windowHeight="805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6" i="1" l="1"/>
  <c r="L31" i="1"/>
  <c r="L32" i="1"/>
  <c r="L33" i="1"/>
  <c r="L30" i="1"/>
  <c r="L37" i="1"/>
  <c r="L35" i="1"/>
  <c r="L34" i="1"/>
</calcChain>
</file>

<file path=xl/sharedStrings.xml><?xml version="1.0" encoding="utf-8"?>
<sst xmlns="http://schemas.openxmlformats.org/spreadsheetml/2006/main" count="31" uniqueCount="19">
  <si>
    <t>COEFICIENTE DE POISSON</t>
  </si>
  <si>
    <t>LARGURA [m]</t>
  </si>
  <si>
    <t xml:space="preserve"> ALTURA [m]</t>
  </si>
  <si>
    <t>ESPESSURA [m]</t>
  </si>
  <si>
    <t>CARGA [Pa]</t>
  </si>
  <si>
    <t>MODULO DE YOUNG [GPa]</t>
  </si>
  <si>
    <t xml:space="preserve">ITERAÇÕES </t>
  </si>
  <si>
    <t>DEFLEXÃO</t>
  </si>
  <si>
    <t>DEFLEXÃO [m]</t>
  </si>
  <si>
    <t xml:space="preserve">MALHA </t>
  </si>
  <si>
    <t>0.25 / 8</t>
  </si>
  <si>
    <t>0.000702956638483193</t>
  </si>
  <si>
    <t>0.08786957981034907</t>
  </si>
  <si>
    <t>0.0000449892248629166</t>
  </si>
  <si>
    <t>0.25 / 16</t>
  </si>
  <si>
    <t>0.000018963499445384587</t>
  </si>
  <si>
    <t>0.0002963046788341896</t>
  </si>
  <si>
    <t>0.03703808485405802</t>
  </si>
  <si>
    <t>COMPARAÇÃO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</si>
</sst>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3" formatCode="0.000000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/>
    <xf numFmtId="173" fontId="0" fillId="0" borderId="0" xfId="0" applyNumberFormat="1"/>
    <xf numFmtId="43" fontId="0" fillId="0" borderId="0" xfId="1" applyFont="1"/>
    <xf numFmtId="49" fontId="0" fillId="0" borderId="0" xfId="0" quotePrefix="1" applyNumberFormat="1"/>
    <xf numFmtId="11" fontId="0" fillId="0" borderId="0" xfId="0" quotePrefix="1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7"/>
  <sheetViews>
    <sheetView tabSelected="1" workbookViewId="0">
      <selection activeCell="I24" sqref="I24"/>
    </sheetView>
  </sheetViews>
  <sheetFormatPr defaultRowHeight="15" x14ac:dyDescent="0.25"/>
  <cols>
    <col min="1" max="1" width="18" customWidth="1"/>
    <col min="2" max="4" width="18.140625" customWidth="1"/>
    <col min="5" max="5" width="18.28515625" customWidth="1"/>
    <col min="6" max="6" width="26" customWidth="1"/>
    <col min="7" max="9" width="23.42578125" customWidth="1"/>
    <col min="10" max="10" width="18.28515625" customWidth="1"/>
    <col min="11" max="11" width="18.42578125" customWidth="1"/>
    <col min="12" max="12" width="17.28515625" customWidth="1"/>
    <col min="13" max="13" width="17.140625" customWidth="1"/>
    <col min="14" max="14" width="16.28515625" customWidth="1"/>
    <col min="15" max="15" width="28.140625" customWidth="1"/>
    <col min="16" max="16" width="29.7109375" customWidth="1"/>
    <col min="17" max="17" width="27.5703125" customWidth="1"/>
    <col min="18" max="18" width="23" customWidth="1"/>
  </cols>
  <sheetData>
    <row r="2" spans="2:19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0</v>
      </c>
      <c r="G2" s="1" t="s">
        <v>5</v>
      </c>
      <c r="H2" s="1" t="s">
        <v>6</v>
      </c>
      <c r="I2" s="4" t="s">
        <v>8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0</v>
      </c>
      <c r="P2" s="1" t="s">
        <v>5</v>
      </c>
      <c r="Q2" s="1" t="s">
        <v>9</v>
      </c>
      <c r="R2" s="4" t="s">
        <v>7</v>
      </c>
    </row>
    <row r="3" spans="2:19" x14ac:dyDescent="0.25">
      <c r="B3">
        <v>2</v>
      </c>
      <c r="C3">
        <v>0.6</v>
      </c>
      <c r="D3" s="3">
        <v>1E-3</v>
      </c>
      <c r="E3">
        <v>1000</v>
      </c>
      <c r="F3">
        <v>0.3</v>
      </c>
      <c r="G3">
        <v>210</v>
      </c>
      <c r="H3">
        <v>19</v>
      </c>
      <c r="I3">
        <v>8.4356582607136701E-2</v>
      </c>
      <c r="K3">
        <v>2</v>
      </c>
      <c r="L3">
        <v>0.6</v>
      </c>
      <c r="M3" s="3">
        <v>1E-3</v>
      </c>
      <c r="N3">
        <v>1000</v>
      </c>
      <c r="O3">
        <v>0.3</v>
      </c>
      <c r="P3">
        <v>210</v>
      </c>
      <c r="Q3" s="5" t="s">
        <v>10</v>
      </c>
      <c r="R3" s="6" t="s">
        <v>12</v>
      </c>
    </row>
    <row r="4" spans="2:19" x14ac:dyDescent="0.25">
      <c r="B4">
        <v>2</v>
      </c>
      <c r="C4">
        <v>0.6</v>
      </c>
      <c r="D4" s="2">
        <v>5.0000000000000001E-3</v>
      </c>
      <c r="E4">
        <v>1000</v>
      </c>
      <c r="F4">
        <v>0.3</v>
      </c>
      <c r="G4">
        <v>210</v>
      </c>
      <c r="H4">
        <v>19</v>
      </c>
      <c r="I4">
        <v>6.7485266085709201E-4</v>
      </c>
      <c r="K4">
        <v>2</v>
      </c>
      <c r="L4">
        <v>0.6</v>
      </c>
      <c r="M4" s="2">
        <v>5.0000000000000001E-3</v>
      </c>
      <c r="N4">
        <v>1000</v>
      </c>
      <c r="O4">
        <v>0.3</v>
      </c>
      <c r="P4">
        <v>210</v>
      </c>
      <c r="Q4" s="5" t="s">
        <v>10</v>
      </c>
      <c r="R4" s="6" t="s">
        <v>11</v>
      </c>
    </row>
    <row r="5" spans="2:19" x14ac:dyDescent="0.25">
      <c r="B5">
        <v>2</v>
      </c>
      <c r="C5">
        <v>0.6</v>
      </c>
      <c r="D5" s="2">
        <v>1.2500000000000001E-2</v>
      </c>
      <c r="E5">
        <v>1000</v>
      </c>
      <c r="F5">
        <v>0.3</v>
      </c>
      <c r="G5">
        <v>210</v>
      </c>
      <c r="H5">
        <v>19</v>
      </c>
      <c r="I5" s="2">
        <v>4.3190570294853901E-5</v>
      </c>
      <c r="K5">
        <v>2</v>
      </c>
      <c r="L5">
        <v>0.6</v>
      </c>
      <c r="M5" s="2">
        <v>1.2500000000000001E-2</v>
      </c>
      <c r="N5">
        <v>1000</v>
      </c>
      <c r="O5">
        <v>0.3</v>
      </c>
      <c r="P5">
        <v>210</v>
      </c>
      <c r="Q5" s="5" t="s">
        <v>10</v>
      </c>
      <c r="R5" s="9" t="s">
        <v>13</v>
      </c>
    </row>
    <row r="6" spans="2:19" x14ac:dyDescent="0.25">
      <c r="B6">
        <v>2</v>
      </c>
      <c r="C6">
        <v>0.6</v>
      </c>
      <c r="D6" s="2">
        <v>0.03</v>
      </c>
      <c r="E6">
        <v>1000</v>
      </c>
      <c r="F6">
        <v>0.3</v>
      </c>
      <c r="G6">
        <v>210</v>
      </c>
      <c r="H6">
        <v>19</v>
      </c>
      <c r="I6" s="2">
        <v>3.1243178743383898E-6</v>
      </c>
      <c r="K6">
        <v>2</v>
      </c>
      <c r="L6">
        <v>0.6</v>
      </c>
      <c r="M6" s="2">
        <v>0.03</v>
      </c>
      <c r="N6">
        <v>1000</v>
      </c>
      <c r="O6">
        <v>0.3</v>
      </c>
      <c r="P6">
        <v>210</v>
      </c>
      <c r="Q6" s="5" t="s">
        <v>10</v>
      </c>
      <c r="R6" s="10">
        <v>3.25442888186526E-6</v>
      </c>
    </row>
    <row r="7" spans="2:19" x14ac:dyDescent="0.25">
      <c r="K7">
        <v>2</v>
      </c>
      <c r="L7">
        <v>0.6</v>
      </c>
      <c r="M7" s="3">
        <v>1E-3</v>
      </c>
      <c r="N7">
        <v>1000</v>
      </c>
      <c r="O7">
        <v>0.3</v>
      </c>
      <c r="P7">
        <v>210</v>
      </c>
      <c r="Q7" s="5" t="s">
        <v>14</v>
      </c>
      <c r="R7" s="6" t="s">
        <v>17</v>
      </c>
      <c r="S7" s="8"/>
    </row>
    <row r="8" spans="2:19" x14ac:dyDescent="0.25">
      <c r="K8">
        <v>2</v>
      </c>
      <c r="L8">
        <v>0.6</v>
      </c>
      <c r="M8" s="2">
        <v>5.0000000000000001E-3</v>
      </c>
      <c r="N8">
        <v>1000</v>
      </c>
      <c r="O8">
        <v>0.3</v>
      </c>
      <c r="P8">
        <v>210</v>
      </c>
      <c r="Q8" s="5" t="s">
        <v>14</v>
      </c>
      <c r="R8" s="6" t="s">
        <v>16</v>
      </c>
    </row>
    <row r="9" spans="2:19" x14ac:dyDescent="0.25">
      <c r="K9">
        <v>2</v>
      </c>
      <c r="L9">
        <v>0.6</v>
      </c>
      <c r="M9" s="2">
        <v>1.2500000000000001E-2</v>
      </c>
      <c r="N9">
        <v>1000</v>
      </c>
      <c r="O9">
        <v>0.3</v>
      </c>
      <c r="P9">
        <v>210</v>
      </c>
      <c r="Q9" s="5" t="s">
        <v>14</v>
      </c>
      <c r="R9" s="9" t="s">
        <v>15</v>
      </c>
    </row>
    <row r="10" spans="2:19" x14ac:dyDescent="0.25">
      <c r="K10">
        <v>2</v>
      </c>
      <c r="L10">
        <v>0.6</v>
      </c>
      <c r="M10" s="2">
        <v>0.03</v>
      </c>
      <c r="N10">
        <v>1000</v>
      </c>
      <c r="O10">
        <v>0.3</v>
      </c>
      <c r="P10">
        <v>210</v>
      </c>
      <c r="Q10" s="5" t="s">
        <v>14</v>
      </c>
      <c r="R10" s="10">
        <v>1.37178092053482E-6</v>
      </c>
    </row>
    <row r="11" spans="2:19" x14ac:dyDescent="0.25">
      <c r="M11" s="3"/>
      <c r="Q11" s="5"/>
      <c r="R11" s="6"/>
    </row>
    <row r="29" spans="12:12" x14ac:dyDescent="0.25">
      <c r="L29" t="s">
        <v>18</v>
      </c>
    </row>
    <row r="30" spans="12:12" x14ac:dyDescent="0.25">
      <c r="L30" s="7">
        <f>((R3 -I3)/I3)*100</f>
        <v>4.164461260329781</v>
      </c>
    </row>
    <row r="31" spans="12:12" x14ac:dyDescent="0.25">
      <c r="L31" s="7">
        <f t="shared" ref="L31:L33" si="0">((R4 -I4)/I4)*100</f>
        <v>4.1644612603894471</v>
      </c>
    </row>
    <row r="32" spans="12:12" x14ac:dyDescent="0.25">
      <c r="L32" s="7">
        <f t="shared" si="0"/>
        <v>4.1644612603714766</v>
      </c>
    </row>
    <row r="33" spans="12:12" x14ac:dyDescent="0.25">
      <c r="L33" s="7">
        <f t="shared" si="0"/>
        <v>4.1644612603454343</v>
      </c>
    </row>
    <row r="34" spans="12:12" x14ac:dyDescent="0.25">
      <c r="L34" s="7">
        <f xml:space="preserve"> (R7 - I3)/I3</f>
        <v>-0.5609342660720289</v>
      </c>
    </row>
    <row r="35" spans="12:12" x14ac:dyDescent="0.25">
      <c r="L35" s="7">
        <f xml:space="preserve"> (R8 - I4)/I4</f>
        <v>-0.56093426606947172</v>
      </c>
    </row>
    <row r="36" spans="12:12" x14ac:dyDescent="0.25">
      <c r="L36" s="2">
        <f xml:space="preserve"> (R9 - I5)/I5</f>
        <v>-0.5609342660695551</v>
      </c>
    </row>
    <row r="37" spans="12:12" x14ac:dyDescent="0.25">
      <c r="L37" s="2">
        <f xml:space="preserve"> (R10 - I6)/I6</f>
        <v>-0.56093426606749786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2026-08-04T16:43:49Z</dcterms:created>
  <dcterms:modified xsi:type="dcterms:W3CDTF">2026-08-04T18:47:32Z</dcterms:modified>
</cp:coreProperties>
</file>